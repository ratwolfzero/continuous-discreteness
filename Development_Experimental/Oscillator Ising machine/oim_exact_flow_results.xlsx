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iming runs" sheetId="2" state="visible" r:id="rId4"/>
    <sheet name="Timing ranges" sheetId="3" state="visible" r:id="rId5"/>
    <sheet name="Eval counts" sheetId="4" state="visible" r:id="rId6"/>
    <sheet name="Final verdic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<sst xmlns="http://schemas.openxmlformats.org/spreadsheetml/2006/main" count="209" uniqueCount="144">
  <si>
    <t xml:space="preserve">OIM exact-injection study: fixes and timing results</t>
  </si>
  <si>
    <t xml:space="preserve">Built from the last answer in this conversation and the logs of oim_exact_flow_study.py.</t>
  </si>
  <si>
    <t xml:space="preserve">Item</t>
  </si>
  <si>
    <t xml:space="preserve">What changed or what the data show</t>
  </si>
  <si>
    <t xml:space="preserve">Fix 1: Euler timing</t>
  </si>
  <si>
    <t xml:space="preserve">Timing comparisons now require the method to reproduce &gt;= 99.9% of the reference spins. At N = 1500 Euler fails (per-spin agreement about 0.50, cut value 19% below the reference), so that verdict line reads NOT COMPARABLE, the table row is marked unfaithful, and the point is dropped from the wall-clock plot. At N = 400 Euler passes the cutoff (0.9992) but only 67% of runs reproduce the reference configuration exactly, so that comparison is borderline. The 0.999 cutoff is my choice.</t>
  </si>
  <si>
    <t xml:space="preserve">Fix 2: runtime text</t>
  </si>
  <si>
    <t xml:space="preserve">Docstring and --help now say about 1.5-2 min for a full run and about 30 s for --quick. Measured: 105 s and 33 s.</t>
  </si>
  <si>
    <t xml:space="preserve">Correction</t>
  </si>
  <si>
    <t xml:space="preserve">I said the first speedup numbers were inflated by three runs sharing the CPU. The clean single-process runs do not support that: timing ratios vary by up to about 2x between runs of the same code. Quote ranges, not single numbers (sheet 'Timing ranges').</t>
  </si>
  <si>
    <t xml:space="preserve">Reproducible measure</t>
  </si>
  <si>
    <t xml:space="preserve">Coupling-evaluation counts (sheet 'Eval counts'): splitting beats the best explicit scheme by &gt;= 2x from r = 30 (5x at r = 30, 10x at r = 100 on the shipped seed). At r = 1-10 it is equal, worse, or seed-dependent.</t>
  </si>
  <si>
    <t xml:space="preserve">Not changed</t>
  </si>
  <si>
    <t xml:space="preserve">The Python code behaviour, apart from the two fixes above and excluding unfaithful points from the plot. The weak-injection and thermal-width lines still read NOT CONFIRMED; those are real results, not bugs.</t>
  </si>
  <si>
    <t xml:space="preserve">Live headline numbers (formulas)</t>
  </si>
  <si>
    <t xml:space="preserve">Splitting vs RK4, min-max speedup</t>
  </si>
  <si>
    <t xml:space="preserve">Splitting vs BDF at N = 1500</t>
  </si>
  <si>
    <t xml:space="preserve">Splitting vs Euler (faithful runs)</t>
  </si>
  <si>
    <t xml:space="preserve">Eval-count benefit sustained from r =</t>
  </si>
  <si>
    <t xml:space="preserve">Verdict counts (confirmed / not / not comparable)</t>
  </si>
  <si>
    <t xml:space="preserve">Sheets</t>
  </si>
  <si>
    <t xml:space="preserve">Timing runs</t>
  </si>
  <si>
    <t xml:space="preserve">raw ms per run from all 7 full runs, with live speedup ratios</t>
  </si>
  <si>
    <t xml:space="preserve">Timing ranges</t>
  </si>
  <si>
    <t xml:space="preserve">min / max speedup per comparison, via formulas</t>
  </si>
  <si>
    <t xml:space="preserve">Eval counts</t>
  </si>
  <si>
    <t xml:space="preserve">coupling evaluations vs injection stiffness r; best explicit scheme and sustained-benefit threshold</t>
  </si>
  <si>
    <t xml:space="preserve">Final verdicts</t>
  </si>
  <si>
    <t xml:space="preserve">the script's verdict block from the final run</t>
  </si>
  <si>
    <t xml:space="preserve">Wall-clock per run at strong injection (r = 100): every full run of oim_exact_flow_study.py</t>
  </si>
  <si>
    <t xml:space="preserve">Faithfulness threshold (per-spin agreement with reference needed before a timing ratio is reported):</t>
  </si>
  <si>
    <t xml:space="preserve">Blue = values copied from the console logs (ms per run, per-spin agreement). Black = formulas. Yellow = a design choice (0.999, my choice) you can change; ratios recompute. Blank = method not run in that version.</t>
  </si>
  <si>
    <t xml:space="preserve">Run</t>
  </si>
  <si>
    <t xml:space="preserve">Description</t>
  </si>
  <si>
    <t xml:space="preserve">Seed</t>
  </si>
  <si>
    <t xml:space="preserve">Other runs on the CPU?</t>
  </si>
  <si>
    <t xml:space="preserve">N</t>
  </si>
  <si>
    <t xml:space="preserve">Splitting ms</t>
  </si>
  <si>
    <t xml:space="preserve">Euler ms</t>
  </si>
  <si>
    <t xml:space="preserve">RK4 ms</t>
  </si>
  <si>
    <t xml:space="preserve">BDF ms</t>
  </si>
  <si>
    <t xml:space="preserve">LSODA ms</t>
  </si>
  <si>
    <t xml:space="preserve">Euler per-spin agreement</t>
  </si>
  <si>
    <t xml:space="preserve">Euler / splitting</t>
  </si>
  <si>
    <t xml:space="preserve">RK4 / splitting</t>
  </si>
  <si>
    <t xml:space="preserve">BDF / splitting</t>
  </si>
  <si>
    <t xml:space="preserve">LSODA / splitting</t>
  </si>
  <si>
    <t xml:space="preserve">R1</t>
  </si>
  <si>
    <t xml:space="preserve">First full run (no Euler row yet)</t>
  </si>
  <si>
    <t xml:space="preserve">No</t>
  </si>
  <si>
    <t xml:space="preserve">R2</t>
  </si>
  <si>
    <t xml:space="preserve">Full run, overlapped with R3 and R4</t>
  </si>
  <si>
    <t xml:space="preserve">Yes</t>
  </si>
  <si>
    <t xml:space="preserve">R3</t>
  </si>
  <si>
    <t xml:space="preserve">Full run, overlapped with R2 and R4</t>
  </si>
  <si>
    <t xml:space="preserve">R4</t>
  </si>
  <si>
    <t xml:space="preserve">Full run, overlapped with R2 and R3</t>
  </si>
  <si>
    <t xml:space="preserve">R5</t>
  </si>
  <si>
    <t xml:space="preserve">Single run, Euler row added</t>
  </si>
  <si>
    <t xml:space="preserve">R6</t>
  </si>
  <si>
    <t xml:space="preserve">Single run, after Euler fidelity patch</t>
  </si>
  <si>
    <t xml:space="preserve">R7</t>
  </si>
  <si>
    <t xml:space="preserve">Final run (shipped script and figure)</t>
  </si>
  <si>
    <t xml:space="preserve">Euler ratios are blank where Euler's per-spin agreement is below the threshold (N = 1500: about 0.50, cut value 19% below the reference), because its timing is not like-for-like. Source: console logs of the runs described in the conversation; no values were re-derived.</t>
  </si>
  <si>
    <t xml:space="preserve">Speedup of exact-injection splitting over each method: range across all runs</t>
  </si>
  <si>
    <t xml:space="preserve">All min / max / run counts are formulas over the 'Timing runs' sheet. The 'stated' column is the (rounded) range given in the last answer.</t>
  </si>
  <si>
    <t xml:space="preserve">Splitting is faster than...</t>
  </si>
  <si>
    <t xml:space="preserve">Graph size N</t>
  </si>
  <si>
    <t xml:space="preserve">Min</t>
  </si>
  <si>
    <t xml:space="preserve">Max</t>
  </si>
  <si>
    <t xml:space="preserve">Runs counted</t>
  </si>
  <si>
    <t xml:space="preserve">Range stated in the answer</t>
  </si>
  <si>
    <t xml:space="preserve">RK4</t>
  </si>
  <si>
    <t xml:space="preserve">all</t>
  </si>
  <si>
    <t xml:space="preserve">roughly 15-27x</t>
  </si>
  <si>
    <t xml:space="preserve">BDF (sparse Jacobian)</t>
  </si>
  <si>
    <t xml:space="preserve">roughly 55-104x</t>
  </si>
  <si>
    <t xml:space="preserve">LSODA (dense Jacobian)</t>
  </si>
  <si>
    <t xml:space="preserve">1.2-1.7x</t>
  </si>
  <si>
    <t xml:space="preserve">2.6-5.6x</t>
  </si>
  <si>
    <t xml:space="preserve">Euler (only where it is faithful)</t>
  </si>
  <si>
    <t xml:space="preserve">4.2-5.9x</t>
  </si>
  <si>
    <t xml:space="preserve">How to read this</t>
  </si>
  <si>
    <t xml:space="preserve">- Timings vary by up to about 2x from run to run on the same code and seed (compare R5, R6, R7), so quote ranges, not single numbers.</t>
  </si>
  <si>
    <t xml:space="preserve">- My earlier explanation that the overlapped runs (R2-R4) were inflated by CPU contention is not supported: the single-process runs (R1, R5-R7) span nearly the same ratios.</t>
  </si>
  <si>
    <t xml:space="preserve">- The reproducible measure is the coupling-evaluation count, on the 'Eval counts' sheet.</t>
  </si>
  <si>
    <t xml:space="preserve">Coupling evaluations needed for &gt;= 95% identical final spin configurations (N = 100, seed 2024)</t>
  </si>
  <si>
    <t xml:space="preserve">r = K_s,max / (K * lambda_max). Cost counts coupling evaluations (2 sparse matvecs each). h = the coarsest step size that reached the target. Best explicit = the cheaper of Euler and RK4, because both hit the same stability limit.</t>
  </si>
  <si>
    <t xml:space="preserve">Required speedup over best explicit scheme:</t>
  </si>
  <si>
    <t xml:space="preserve">r</t>
  </si>
  <si>
    <t xml:space="preserve">Euler h</t>
  </si>
  <si>
    <t xml:space="preserve">Euler evals</t>
  </si>
  <si>
    <t xml:space="preserve">RK4 h</t>
  </si>
  <si>
    <t xml:space="preserve">RK4 evals</t>
  </si>
  <si>
    <t xml:space="preserve">Splitting h</t>
  </si>
  <si>
    <t xml:space="preserve">Splitting evals</t>
  </si>
  <si>
    <t xml:space="preserve">Best explicit evals</t>
  </si>
  <si>
    <t xml:space="preserve">Best explicit / splitting</t>
  </si>
  <si>
    <t xml:space="preserve">Meets required speedup?</t>
  </si>
  <si>
    <t xml:space="preserve">Holds at this r and all larger r?</t>
  </si>
  <si>
    <t xml:space="preserve">Benefit sustained from r =</t>
  </si>
  <si>
    <t xml:space="preserve">Comparison with LSODA (adaptive implicit): mean RHS calls were 241, 202, 177, 166, 150 at r = 1, 3, 10, 30, 100, plus 3-4 Jacobians each.</t>
  </si>
  <si>
    <t xml:space="preserve">Other seeds (1, 2, earlier runs) gave 10-25x at r = 100 and 2.5-5x at r = 30; at r = 10 the result ranged from 2x worse to 10x better than the best explicit scheme.</t>
  </si>
  <si>
    <t xml:space="preserve">Verdict block of the final run (seed 2024)</t>
  </si>
  <si>
    <t xml:space="preserve">Computed by the script from its own measurements; copied here verbatim apart from line-wrapping.</t>
  </si>
  <si>
    <t xml:space="preserve">Status</t>
  </si>
  <si>
    <t xml:space="preserve">Check</t>
  </si>
  <si>
    <t xml:space="preserve">Measured</t>
  </si>
  <si>
    <t xml:space="preserve">CONFIRMED</t>
  </si>
  <si>
    <t xml:space="preserve">Exactness (README flow, group law, detuned closed form)</t>
  </si>
  <si>
    <t xml:space="preserve">worst detuned-flow error 1.5e-12</t>
  </si>
  <si>
    <t xml:space="preserve">Coupling: zeroth-order error is O(rho)</t>
  </si>
  <si>
    <t xml:space="preserve">fitted exponent 1.00</t>
  </si>
  <si>
    <t xml:space="preserve">Coupling: closed-form first-order fix is O(rho^2)</t>
  </si>
  <si>
    <t xml:space="preserve">exponent 2.00; 49x smaller error at rho = 0.1</t>
  </si>
  <si>
    <t xml:space="preserve">Noise: basin blur = exact committor, width sigma/sqrt(4 pi)</t>
  </si>
  <si>
    <t xml:space="preserve">max |z| = 1.88 over 14 points</t>
  </si>
  <si>
    <t xml:space="preserve">Noise: unresolved fraction saturates at the von Mises floor</t>
  </si>
  <si>
    <t xml:space="preserve">late-time z = -1.60</t>
  </si>
  <si>
    <t xml:space="preserve">Noise: resolution time = README t* with eps -&gt; |eps+eta|</t>
  </si>
  <si>
    <t xml:space="preserve">max quantile error 6.4%</t>
  </si>
  <si>
    <t xml:space="preserve">Benefit: &gt;= 2x fewer coupling evals than the BEST explicit scheme</t>
  </si>
  <si>
    <t xml:space="preserve">10x at r = 100; sustained from r = 30 (ratios r=1: 0.5x, r=3: 1.0x, r=10: 0.5x, r=30: 5.0x, r=100: 10.0x)</t>
  </si>
  <si>
    <t xml:space="preserve">NOT CONFIRMED</t>
  </si>
  <si>
    <t xml:space="preserve">Benefit also at weak injection (r ~ 1)?</t>
  </si>
  <si>
    <t xml:space="preserve">best-explicit / splitting = 0.50 at r = 1</t>
  </si>
  <si>
    <t xml:space="preserve">Benefit: wall-clock vs RK4 / BDF at N = 1500, r = 100</t>
  </si>
  <si>
    <t xml:space="preserve">26x vs RK4, 97x vs BDF</t>
  </si>
  <si>
    <t xml:space="preserve">Benefit: wall-clock vs Euler at N = 100, r = 100</t>
  </si>
  <si>
    <t xml:space="preserve">splitting is 4.2x faster</t>
  </si>
  <si>
    <t xml:space="preserve">Benefit: wall-clock vs Euler at N = 400, r = 100</t>
  </si>
  <si>
    <t xml:space="preserve">splitting is 5.9x faster</t>
  </si>
  <si>
    <t xml:space="preserve">NOT COMPARABLE</t>
  </si>
  <si>
    <t xml:space="preserve">Benefit: wall-clock vs Euler at N = 1500, r = 100</t>
  </si>
  <si>
    <t xml:space="preserve">Euler (step tuned at N = 100) is unfaithful here: per-spin 0.501, cut/ref 0.811</t>
  </si>
  <si>
    <t xml:space="preserve">Benefit: wall-clock vs LSODA at N = 100, r = 100</t>
  </si>
  <si>
    <t xml:space="preserve">splitting is 1.3x faster</t>
  </si>
  <si>
    <t xml:space="preserve">Benefit: wall-clock vs LSODA at N = 400, r = 100</t>
  </si>
  <si>
    <t xml:space="preserve">splitting is 3.3x faster</t>
  </si>
  <si>
    <t xml:space="preserve">Noise: splitting beats Euler-Maruyama on stationary-law bias at Ks*h = 0.25</t>
  </si>
  <si>
    <t xml:space="preserve">-2.5% vs +32.8%</t>
  </si>
  <si>
    <t xml:space="preserve">Noise: splitting keeps correct thermal width at Ks*h = 1</t>
  </si>
  <si>
    <t xml:space="preserve">-36% error</t>
  </si>
  <si>
    <t xml:space="preserve">Counts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</si>
</sst>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#,##0"/>
    <numFmt numFmtId="167" formatCode="#,##0.0"/>
    <numFmt numFmtId="168" formatCode="0.0000"/>
    <numFmt numFmtId="169" formatCode="0.0\x"/>
    <numFmt numFmtId="170" formatCode="0"/>
    <numFmt numFmtId="171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85.5" hidden="false" customHeight="true" outlineLevel="0" collapsed="false">
      <c r="A5" s="4" t="s">
        <v>4</v>
      </c>
      <c r="B5" s="5" t="s">
        <v>5</v>
      </c>
    </row>
    <row r="6" customFormat="false" ht="37.5" hidden="false" customHeight="true" outlineLevel="0" collapsed="false">
      <c r="A6" s="4" t="s">
        <v>6</v>
      </c>
      <c r="B6" s="5" t="s">
        <v>7</v>
      </c>
    </row>
    <row r="7" customFormat="false" ht="54" hidden="false" customHeight="true" outlineLevel="0" collapsed="false">
      <c r="A7" s="4" t="s">
        <v>8</v>
      </c>
      <c r="B7" s="5" t="s">
        <v>9</v>
      </c>
    </row>
    <row r="8" customFormat="false" ht="54" hidden="false" customHeight="true" outlineLevel="0" collapsed="false">
      <c r="A8" s="4" t="s">
        <v>10</v>
      </c>
      <c r="B8" s="5" t="s">
        <v>11</v>
      </c>
    </row>
    <row r="9" customFormat="false" ht="37.5" hidden="false" customHeight="true" outlineLevel="0" collapsed="false">
      <c r="A9" s="4" t="s">
        <v>12</v>
      </c>
      <c r="B9" s="5" t="s">
        <v>13</v>
      </c>
    </row>
    <row r="11" customFormat="false" ht="15" hidden="false" customHeight="false" outlineLevel="0" collapsed="false">
      <c r="A11" s="6" t="s">
        <v>14</v>
      </c>
    </row>
    <row r="12" customFormat="false" ht="15" hidden="false" customHeight="false" outlineLevel="0" collapsed="false">
      <c r="A12" s="7" t="s">
        <v>15</v>
      </c>
      <c r="B12" s="8" t="str">
        <f aca="false">TEXT('Timing ranges'!C5,"0.0")&amp;"x - "&amp;TEXT('Timing ranges'!D5,"0.0")&amp;"x"</f>
        <v>15.2x - 27.0x</v>
      </c>
    </row>
    <row r="13" customFormat="false" ht="15" hidden="false" customHeight="false" outlineLevel="0" collapsed="false">
      <c r="A13" s="7" t="s">
        <v>16</v>
      </c>
      <c r="B13" s="8" t="str">
        <f aca="false">TEXT('Timing ranges'!C6,"0.0")&amp;"x - "&amp;TEXT('Timing ranges'!D6,"0.0")&amp;"x"</f>
        <v>54.5x - 103.7x</v>
      </c>
    </row>
    <row r="14" customFormat="false" ht="15" hidden="false" customHeight="false" outlineLevel="0" collapsed="false">
      <c r="A14" s="7" t="s">
        <v>17</v>
      </c>
      <c r="B14" s="8" t="str">
        <f aca="false">TEXT('Timing ranges'!C9,"0.0")&amp;"x - "&amp;TEXT('Timing ranges'!D9,"0.0")&amp;"x"</f>
        <v>4.2x - 5.9x</v>
      </c>
    </row>
    <row r="15" customFormat="false" ht="15" hidden="false" customHeight="false" outlineLevel="0" collapsed="false">
      <c r="A15" s="7" t="s">
        <v>18</v>
      </c>
      <c r="B15" s="8" t="n">
        <f aca="false">'Eval counts'!D12</f>
        <v>30</v>
      </c>
    </row>
    <row r="16" customFormat="false" ht="15" hidden="false" customHeight="false" outlineLevel="0" collapsed="false">
      <c r="A16" s="7" t="s">
        <v>19</v>
      </c>
      <c r="B16" s="8" t="str">
        <f aca="false">'Final verdicts'!B23&amp;" / "&amp;'Final verdicts'!B24&amp;" / "&amp;'Final verdicts'!B25</f>
        <v>13 / 2 / 1</v>
      </c>
    </row>
    <row r="18" customFormat="false" ht="15" hidden="false" customHeight="false" outlineLevel="0" collapsed="false">
      <c r="A18" s="6" t="s">
        <v>20</v>
      </c>
    </row>
    <row r="19" customFormat="false" ht="15" hidden="false" customHeight="false" outlineLevel="0" collapsed="false">
      <c r="A19" s="9" t="s">
        <v>21</v>
      </c>
      <c r="B19" s="9" t="s">
        <v>22</v>
      </c>
    </row>
    <row r="20" customFormat="false" ht="15" hidden="false" customHeight="false" outlineLevel="0" collapsed="false">
      <c r="A20" s="9" t="s">
        <v>23</v>
      </c>
      <c r="B20" s="9" t="s">
        <v>24</v>
      </c>
    </row>
    <row r="21" customFormat="false" ht="15" hidden="false" customHeight="false" outlineLevel="0" collapsed="false">
      <c r="A21" s="9" t="s">
        <v>25</v>
      </c>
      <c r="B21" s="9" t="s">
        <v>26</v>
      </c>
    </row>
    <row r="22" customFormat="false" ht="15" hidden="false" customHeight="false" outlineLevel="0" collapsed="false">
      <c r="A22" s="9" t="s">
        <v>27</v>
      </c>
      <c r="B22" s="9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10" min="7" style="0" width="10"/>
    <col collapsed="false" customWidth="true" hidden="false" outlineLevel="0" max="11" min="11" style="0" width="14"/>
    <col collapsed="false" customWidth="true" hidden="false" outlineLevel="0" max="15" min="12" style="0" width="12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6" t="s">
        <v>30</v>
      </c>
      <c r="K2" s="10" t="n">
        <v>0.999</v>
      </c>
    </row>
    <row r="3" customFormat="false" ht="15" hidden="false" customHeight="false" outlineLevel="0" collapsed="false">
      <c r="A3" s="2" t="s">
        <v>31</v>
      </c>
    </row>
    <row r="5" customFormat="false" ht="42" hidden="false" customHeight="true" outlineLevel="0" collapsed="false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  <c r="L5" s="3" t="s">
        <v>43</v>
      </c>
      <c r="M5" s="3" t="s">
        <v>44</v>
      </c>
      <c r="N5" s="3" t="s">
        <v>45</v>
      </c>
      <c r="O5" s="3" t="s">
        <v>46</v>
      </c>
    </row>
    <row r="6" customFormat="false" ht="15" hidden="false" customHeight="false" outlineLevel="0" collapsed="false">
      <c r="A6" s="7" t="s">
        <v>47</v>
      </c>
      <c r="B6" s="7" t="s">
        <v>48</v>
      </c>
      <c r="C6" s="11" t="n">
        <v>2024</v>
      </c>
      <c r="D6" s="11" t="s">
        <v>49</v>
      </c>
      <c r="E6" s="12" t="n">
        <v>100</v>
      </c>
      <c r="F6" s="13" t="n">
        <v>4</v>
      </c>
      <c r="G6" s="13"/>
      <c r="H6" s="13" t="n">
        <v>74.5</v>
      </c>
      <c r="I6" s="13" t="n">
        <v>20.5</v>
      </c>
      <c r="J6" s="13" t="n">
        <v>4.6</v>
      </c>
      <c r="K6" s="14"/>
      <c r="L6" s="15" t="str">
        <f aca="false">IF(AND(ISNUMBER(G6),ISNUMBER(K6)),IF(K6&gt;=$K$2,G6/F6,""),"")</f>
        <v/>
      </c>
      <c r="M6" s="15" t="n">
        <f aca="false">IF(ISNUMBER(H6),H6/F6,"")</f>
        <v>18.625</v>
      </c>
      <c r="N6" s="15" t="n">
        <f aca="false">IF(ISNUMBER(I6),I6/F6,"")</f>
        <v>5.125</v>
      </c>
      <c r="O6" s="15" t="n">
        <f aca="false">IF(ISNUMBER(J6),J6/F6,"")</f>
        <v>1.15</v>
      </c>
    </row>
    <row r="7" customFormat="false" ht="15" hidden="false" customHeight="false" outlineLevel="0" collapsed="false">
      <c r="A7" s="7" t="s">
        <v>47</v>
      </c>
      <c r="B7" s="7" t="s">
        <v>48</v>
      </c>
      <c r="C7" s="11" t="n">
        <v>2024</v>
      </c>
      <c r="D7" s="11" t="s">
        <v>49</v>
      </c>
      <c r="E7" s="12" t="n">
        <v>400</v>
      </c>
      <c r="F7" s="13" t="n">
        <v>6.1</v>
      </c>
      <c r="G7" s="13"/>
      <c r="H7" s="13" t="n">
        <v>126.8</v>
      </c>
      <c r="I7" s="13" t="n">
        <v>75.2</v>
      </c>
      <c r="J7" s="13" t="n">
        <v>19.6</v>
      </c>
      <c r="K7" s="14"/>
      <c r="L7" s="15" t="str">
        <f aca="false">IF(AND(ISNUMBER(G7),ISNUMBER(K7)),IF(K7&gt;=$K$2,G7/F7,""),"")</f>
        <v/>
      </c>
      <c r="M7" s="15" t="n">
        <f aca="false">IF(ISNUMBER(H7),H7/F7,"")</f>
        <v>20.7868852459016</v>
      </c>
      <c r="N7" s="15" t="n">
        <f aca="false">IF(ISNUMBER(I7),I7/F7,"")</f>
        <v>12.327868852459</v>
      </c>
      <c r="O7" s="15" t="n">
        <f aca="false">IF(ISNUMBER(J7),J7/F7,"")</f>
        <v>3.21311475409836</v>
      </c>
    </row>
    <row r="8" customFormat="false" ht="15" hidden="false" customHeight="false" outlineLevel="0" collapsed="false">
      <c r="A8" s="7" t="s">
        <v>47</v>
      </c>
      <c r="B8" s="7" t="s">
        <v>48</v>
      </c>
      <c r="C8" s="11" t="n">
        <v>2024</v>
      </c>
      <c r="D8" s="11" t="s">
        <v>49</v>
      </c>
      <c r="E8" s="12" t="n">
        <v>1500</v>
      </c>
      <c r="F8" s="13" t="n">
        <v>14.2</v>
      </c>
      <c r="G8" s="13"/>
      <c r="H8" s="13" t="n">
        <v>355.1</v>
      </c>
      <c r="I8" s="13" t="n">
        <v>1366.5</v>
      </c>
      <c r="J8" s="13"/>
      <c r="K8" s="14"/>
      <c r="L8" s="15" t="str">
        <f aca="false">IF(AND(ISNUMBER(G8),ISNUMBER(K8)),IF(K8&gt;=$K$2,G8/F8,""),"")</f>
        <v/>
      </c>
      <c r="M8" s="15" t="n">
        <f aca="false">IF(ISNUMBER(H8),H8/F8,"")</f>
        <v>25.0070422535211</v>
      </c>
      <c r="N8" s="15" t="n">
        <f aca="false">IF(ISNUMBER(I8),I8/F8,"")</f>
        <v>96.2323943661972</v>
      </c>
      <c r="O8" s="15" t="str">
        <f aca="false">IF(ISNUMBER(J8),J8/F8,"")</f>
        <v/>
      </c>
    </row>
    <row r="9" customFormat="false" ht="15" hidden="false" customHeight="false" outlineLevel="0" collapsed="false">
      <c r="A9" s="16" t="s">
        <v>50</v>
      </c>
      <c r="B9" s="16" t="s">
        <v>51</v>
      </c>
      <c r="C9" s="17" t="n">
        <v>2024</v>
      </c>
      <c r="D9" s="17" t="s">
        <v>52</v>
      </c>
      <c r="E9" s="18" t="n">
        <v>100</v>
      </c>
      <c r="F9" s="19" t="n">
        <v>12.1</v>
      </c>
      <c r="G9" s="19"/>
      <c r="H9" s="19" t="n">
        <v>211.2</v>
      </c>
      <c r="I9" s="19" t="n">
        <v>75.8</v>
      </c>
      <c r="J9" s="19" t="n">
        <v>16.8</v>
      </c>
      <c r="K9" s="20"/>
      <c r="L9" s="21" t="str">
        <f aca="false">IF(AND(ISNUMBER(G9),ISNUMBER(K9)),IF(K9&gt;=$K$2,G9/F9,""),"")</f>
        <v/>
      </c>
      <c r="M9" s="21" t="n">
        <f aca="false">IF(ISNUMBER(H9),H9/F9,"")</f>
        <v>17.4545454545455</v>
      </c>
      <c r="N9" s="21" t="n">
        <f aca="false">IF(ISNUMBER(I9),I9/F9,"")</f>
        <v>6.26446280991736</v>
      </c>
      <c r="O9" s="21" t="n">
        <f aca="false">IF(ISNUMBER(J9),J9/F9,"")</f>
        <v>1.38842975206612</v>
      </c>
    </row>
    <row r="10" customFormat="false" ht="15" hidden="false" customHeight="false" outlineLevel="0" collapsed="false">
      <c r="A10" s="16" t="s">
        <v>50</v>
      </c>
      <c r="B10" s="16" t="s">
        <v>51</v>
      </c>
      <c r="C10" s="17" t="n">
        <v>2024</v>
      </c>
      <c r="D10" s="17" t="s">
        <v>52</v>
      </c>
      <c r="E10" s="18" t="n">
        <v>400</v>
      </c>
      <c r="F10" s="19" t="n">
        <v>20</v>
      </c>
      <c r="G10" s="19"/>
      <c r="H10" s="19" t="n">
        <v>427.7</v>
      </c>
      <c r="I10" s="19" t="n">
        <v>263.5</v>
      </c>
      <c r="J10" s="19" t="n">
        <v>100.4</v>
      </c>
      <c r="K10" s="20"/>
      <c r="L10" s="21" t="str">
        <f aca="false">IF(AND(ISNUMBER(G10),ISNUMBER(K10)),IF(K10&gt;=$K$2,G10/F10,""),"")</f>
        <v/>
      </c>
      <c r="M10" s="21" t="n">
        <f aca="false">IF(ISNUMBER(H10),H10/F10,"")</f>
        <v>21.385</v>
      </c>
      <c r="N10" s="21" t="n">
        <f aca="false">IF(ISNUMBER(I10),I10/F10,"")</f>
        <v>13.175</v>
      </c>
      <c r="O10" s="21" t="n">
        <f aca="false">IF(ISNUMBER(J10),J10/F10,"")</f>
        <v>5.02</v>
      </c>
    </row>
    <row r="11" customFormat="false" ht="15" hidden="false" customHeight="false" outlineLevel="0" collapsed="false">
      <c r="A11" s="16" t="s">
        <v>50</v>
      </c>
      <c r="B11" s="16" t="s">
        <v>51</v>
      </c>
      <c r="C11" s="17" t="n">
        <v>2024</v>
      </c>
      <c r="D11" s="17" t="s">
        <v>52</v>
      </c>
      <c r="E11" s="18" t="n">
        <v>1500</v>
      </c>
      <c r="F11" s="19" t="n">
        <v>49.8</v>
      </c>
      <c r="G11" s="19"/>
      <c r="H11" s="19" t="n">
        <v>1146.3</v>
      </c>
      <c r="I11" s="19" t="n">
        <v>4788.3</v>
      </c>
      <c r="J11" s="19"/>
      <c r="K11" s="20"/>
      <c r="L11" s="21" t="str">
        <f aca="false">IF(AND(ISNUMBER(G11),ISNUMBER(K11)),IF(K11&gt;=$K$2,G11/F11,""),"")</f>
        <v/>
      </c>
      <c r="M11" s="21" t="n">
        <f aca="false">IF(ISNUMBER(H11),H11/F11,"")</f>
        <v>23.0180722891566</v>
      </c>
      <c r="N11" s="21" t="n">
        <f aca="false">IF(ISNUMBER(I11),I11/F11,"")</f>
        <v>96.1506024096386</v>
      </c>
      <c r="O11" s="21" t="str">
        <f aca="false">IF(ISNUMBER(J11),J11/F11,"")</f>
        <v/>
      </c>
    </row>
    <row r="12" customFormat="false" ht="15" hidden="false" customHeight="false" outlineLevel="0" collapsed="false">
      <c r="A12" s="7" t="s">
        <v>53</v>
      </c>
      <c r="B12" s="7" t="s">
        <v>54</v>
      </c>
      <c r="C12" s="11" t="n">
        <v>1</v>
      </c>
      <c r="D12" s="11" t="s">
        <v>52</v>
      </c>
      <c r="E12" s="12" t="n">
        <v>100</v>
      </c>
      <c r="F12" s="13" t="n">
        <v>12.2</v>
      </c>
      <c r="G12" s="13"/>
      <c r="H12" s="13" t="n">
        <v>227.3</v>
      </c>
      <c r="I12" s="13" t="n">
        <v>81.4</v>
      </c>
      <c r="J12" s="13" t="n">
        <v>16.7</v>
      </c>
      <c r="K12" s="14"/>
      <c r="L12" s="15" t="str">
        <f aca="false">IF(AND(ISNUMBER(G12),ISNUMBER(K12)),IF(K12&gt;=$K$2,G12/F12,""),"")</f>
        <v/>
      </c>
      <c r="M12" s="15" t="n">
        <f aca="false">IF(ISNUMBER(H12),H12/F12,"")</f>
        <v>18.6311475409836</v>
      </c>
      <c r="N12" s="15" t="n">
        <f aca="false">IF(ISNUMBER(I12),I12/F12,"")</f>
        <v>6.67213114754098</v>
      </c>
      <c r="O12" s="15" t="n">
        <f aca="false">IF(ISNUMBER(J12),J12/F12,"")</f>
        <v>1.36885245901639</v>
      </c>
    </row>
    <row r="13" customFormat="false" ht="15" hidden="false" customHeight="false" outlineLevel="0" collapsed="false">
      <c r="A13" s="7" t="s">
        <v>53</v>
      </c>
      <c r="B13" s="7" t="s">
        <v>54</v>
      </c>
      <c r="C13" s="11" t="n">
        <v>1</v>
      </c>
      <c r="D13" s="11" t="s">
        <v>52</v>
      </c>
      <c r="E13" s="12" t="n">
        <v>400</v>
      </c>
      <c r="F13" s="13" t="n">
        <v>18.4</v>
      </c>
      <c r="G13" s="13"/>
      <c r="H13" s="13" t="n">
        <v>388.7</v>
      </c>
      <c r="I13" s="13" t="n">
        <v>300</v>
      </c>
      <c r="J13" s="13" t="n">
        <v>103.7</v>
      </c>
      <c r="K13" s="14"/>
      <c r="L13" s="15" t="str">
        <f aca="false">IF(AND(ISNUMBER(G13),ISNUMBER(K13)),IF(K13&gt;=$K$2,G13/F13,""),"")</f>
        <v/>
      </c>
      <c r="M13" s="15" t="n">
        <f aca="false">IF(ISNUMBER(H13),H13/F13,"")</f>
        <v>21.125</v>
      </c>
      <c r="N13" s="15" t="n">
        <f aca="false">IF(ISNUMBER(I13),I13/F13,"")</f>
        <v>16.304347826087</v>
      </c>
      <c r="O13" s="15" t="n">
        <f aca="false">IF(ISNUMBER(J13),J13/F13,"")</f>
        <v>5.63586956521739</v>
      </c>
    </row>
    <row r="14" customFormat="false" ht="15" hidden="false" customHeight="false" outlineLevel="0" collapsed="false">
      <c r="A14" s="7" t="s">
        <v>53</v>
      </c>
      <c r="B14" s="7" t="s">
        <v>54</v>
      </c>
      <c r="C14" s="11" t="n">
        <v>1</v>
      </c>
      <c r="D14" s="11" t="s">
        <v>52</v>
      </c>
      <c r="E14" s="12" t="n">
        <v>1500</v>
      </c>
      <c r="F14" s="13" t="n">
        <v>49.5</v>
      </c>
      <c r="G14" s="13"/>
      <c r="H14" s="13" t="n">
        <v>1173.5</v>
      </c>
      <c r="I14" s="13" t="n">
        <v>4662.2</v>
      </c>
      <c r="J14" s="13"/>
      <c r="K14" s="14"/>
      <c r="L14" s="15" t="str">
        <f aca="false">IF(AND(ISNUMBER(G14),ISNUMBER(K14)),IF(K14&gt;=$K$2,G14/F14,""),"")</f>
        <v/>
      </c>
      <c r="M14" s="15" t="n">
        <f aca="false">IF(ISNUMBER(H14),H14/F14,"")</f>
        <v>23.7070707070707</v>
      </c>
      <c r="N14" s="15" t="n">
        <f aca="false">IF(ISNUMBER(I14),I14/F14,"")</f>
        <v>94.1858585858586</v>
      </c>
      <c r="O14" s="15" t="str">
        <f aca="false">IF(ISNUMBER(J14),J14/F14,"")</f>
        <v/>
      </c>
    </row>
    <row r="15" customFormat="false" ht="15" hidden="false" customHeight="false" outlineLevel="0" collapsed="false">
      <c r="A15" s="16" t="s">
        <v>55</v>
      </c>
      <c r="B15" s="16" t="s">
        <v>56</v>
      </c>
      <c r="C15" s="17" t="n">
        <v>2</v>
      </c>
      <c r="D15" s="17" t="s">
        <v>52</v>
      </c>
      <c r="E15" s="18" t="n">
        <v>100</v>
      </c>
      <c r="F15" s="19" t="n">
        <v>13.4</v>
      </c>
      <c r="G15" s="19"/>
      <c r="H15" s="19" t="n">
        <v>239.8</v>
      </c>
      <c r="I15" s="19" t="n">
        <v>73</v>
      </c>
      <c r="J15" s="19" t="n">
        <v>16.6</v>
      </c>
      <c r="K15" s="20"/>
      <c r="L15" s="21" t="str">
        <f aca="false">IF(AND(ISNUMBER(G15),ISNUMBER(K15)),IF(K15&gt;=$K$2,G15/F15,""),"")</f>
        <v/>
      </c>
      <c r="M15" s="21" t="n">
        <f aca="false">IF(ISNUMBER(H15),H15/F15,"")</f>
        <v>17.8955223880597</v>
      </c>
      <c r="N15" s="21" t="n">
        <f aca="false">IF(ISNUMBER(I15),I15/F15,"")</f>
        <v>5.44776119402985</v>
      </c>
      <c r="O15" s="21" t="n">
        <f aca="false">IF(ISNUMBER(J15),J15/F15,"")</f>
        <v>1.23880597014925</v>
      </c>
    </row>
    <row r="16" customFormat="false" ht="15" hidden="false" customHeight="false" outlineLevel="0" collapsed="false">
      <c r="A16" s="16" t="s">
        <v>55</v>
      </c>
      <c r="B16" s="16" t="s">
        <v>56</v>
      </c>
      <c r="C16" s="17" t="n">
        <v>2</v>
      </c>
      <c r="D16" s="17" t="s">
        <v>52</v>
      </c>
      <c r="E16" s="18" t="n">
        <v>400</v>
      </c>
      <c r="F16" s="19" t="n">
        <v>19.6</v>
      </c>
      <c r="G16" s="19"/>
      <c r="H16" s="19" t="n">
        <v>397.3</v>
      </c>
      <c r="I16" s="19" t="n">
        <v>263.2</v>
      </c>
      <c r="J16" s="19" t="n">
        <v>102.1</v>
      </c>
      <c r="K16" s="20"/>
      <c r="L16" s="21" t="str">
        <f aca="false">IF(AND(ISNUMBER(G16),ISNUMBER(K16)),IF(K16&gt;=$K$2,G16/F16,""),"")</f>
        <v/>
      </c>
      <c r="M16" s="21" t="n">
        <f aca="false">IF(ISNUMBER(H16),H16/F16,"")</f>
        <v>20.2704081632653</v>
      </c>
      <c r="N16" s="21" t="n">
        <f aca="false">IF(ISNUMBER(I16),I16/F16,"")</f>
        <v>13.4285714285714</v>
      </c>
      <c r="O16" s="21" t="n">
        <f aca="false">IF(ISNUMBER(J16),J16/F16,"")</f>
        <v>5.20918367346939</v>
      </c>
    </row>
    <row r="17" customFormat="false" ht="15" hidden="false" customHeight="false" outlineLevel="0" collapsed="false">
      <c r="A17" s="16" t="s">
        <v>55</v>
      </c>
      <c r="B17" s="16" t="s">
        <v>56</v>
      </c>
      <c r="C17" s="17" t="n">
        <v>2</v>
      </c>
      <c r="D17" s="17" t="s">
        <v>52</v>
      </c>
      <c r="E17" s="18" t="n">
        <v>1500</v>
      </c>
      <c r="F17" s="19" t="n">
        <v>46.4</v>
      </c>
      <c r="G17" s="19"/>
      <c r="H17" s="19" t="n">
        <v>1200.6</v>
      </c>
      <c r="I17" s="19" t="n">
        <v>4811.4</v>
      </c>
      <c r="J17" s="19"/>
      <c r="K17" s="20"/>
      <c r="L17" s="21" t="str">
        <f aca="false">IF(AND(ISNUMBER(G17),ISNUMBER(K17)),IF(K17&gt;=$K$2,G17/F17,""),"")</f>
        <v/>
      </c>
      <c r="M17" s="21" t="n">
        <f aca="false">IF(ISNUMBER(H17),H17/F17,"")</f>
        <v>25.875</v>
      </c>
      <c r="N17" s="21" t="n">
        <f aca="false">IF(ISNUMBER(I17),I17/F17,"")</f>
        <v>103.693965517241</v>
      </c>
      <c r="O17" s="21" t="str">
        <f aca="false">IF(ISNUMBER(J17),J17/F17,"")</f>
        <v/>
      </c>
    </row>
    <row r="18" customFormat="false" ht="15" hidden="false" customHeight="false" outlineLevel="0" collapsed="false">
      <c r="A18" s="7" t="s">
        <v>57</v>
      </c>
      <c r="B18" s="7" t="s">
        <v>58</v>
      </c>
      <c r="C18" s="11" t="n">
        <v>2024</v>
      </c>
      <c r="D18" s="11" t="s">
        <v>49</v>
      </c>
      <c r="E18" s="12" t="n">
        <v>100</v>
      </c>
      <c r="F18" s="13" t="n">
        <v>4</v>
      </c>
      <c r="G18" s="13" t="n">
        <v>19.5</v>
      </c>
      <c r="H18" s="13" t="n">
        <v>84.6</v>
      </c>
      <c r="I18" s="13" t="n">
        <v>26.6</v>
      </c>
      <c r="J18" s="13" t="n">
        <v>6.8</v>
      </c>
      <c r="K18" s="14" t="n">
        <v>1</v>
      </c>
      <c r="L18" s="15" t="n">
        <f aca="false">IF(AND(ISNUMBER(G18),ISNUMBER(K18)),IF(K18&gt;=$K$2,G18/F18,""),"")</f>
        <v>4.875</v>
      </c>
      <c r="M18" s="15" t="n">
        <f aca="false">IF(ISNUMBER(H18),H18/F18,"")</f>
        <v>21.15</v>
      </c>
      <c r="N18" s="15" t="n">
        <f aca="false">IF(ISNUMBER(I18),I18/F18,"")</f>
        <v>6.65</v>
      </c>
      <c r="O18" s="15" t="n">
        <f aca="false">IF(ISNUMBER(J18),J18/F18,"")</f>
        <v>1.7</v>
      </c>
    </row>
    <row r="19" customFormat="false" ht="15" hidden="false" customHeight="false" outlineLevel="0" collapsed="false">
      <c r="A19" s="7" t="s">
        <v>57</v>
      </c>
      <c r="B19" s="7" t="s">
        <v>58</v>
      </c>
      <c r="C19" s="11" t="n">
        <v>2024</v>
      </c>
      <c r="D19" s="11" t="s">
        <v>49</v>
      </c>
      <c r="E19" s="12" t="n">
        <v>400</v>
      </c>
      <c r="F19" s="13" t="n">
        <v>6.2</v>
      </c>
      <c r="G19" s="13" t="n">
        <v>33.6</v>
      </c>
      <c r="H19" s="13" t="n">
        <v>149.6</v>
      </c>
      <c r="I19" s="13" t="n">
        <v>72.5</v>
      </c>
      <c r="J19" s="13" t="n">
        <v>19.4</v>
      </c>
      <c r="K19" s="14" t="n">
        <v>0.9992</v>
      </c>
      <c r="L19" s="15" t="n">
        <f aca="false">IF(AND(ISNUMBER(G19),ISNUMBER(K19)),IF(K19&gt;=$K$2,G19/F19,""),"")</f>
        <v>5.41935483870968</v>
      </c>
      <c r="M19" s="15" t="n">
        <f aca="false">IF(ISNUMBER(H19),H19/F19,"")</f>
        <v>24.1290322580645</v>
      </c>
      <c r="N19" s="15" t="n">
        <f aca="false">IF(ISNUMBER(I19),I19/F19,"")</f>
        <v>11.6935483870968</v>
      </c>
      <c r="O19" s="15" t="n">
        <f aca="false">IF(ISNUMBER(J19),J19/F19,"")</f>
        <v>3.12903225806452</v>
      </c>
    </row>
    <row r="20" customFormat="false" ht="15" hidden="false" customHeight="false" outlineLevel="0" collapsed="false">
      <c r="A20" s="7" t="s">
        <v>57</v>
      </c>
      <c r="B20" s="7" t="s">
        <v>58</v>
      </c>
      <c r="C20" s="11" t="n">
        <v>2024</v>
      </c>
      <c r="D20" s="11" t="s">
        <v>49</v>
      </c>
      <c r="E20" s="12" t="n">
        <v>1500</v>
      </c>
      <c r="F20" s="13" t="n">
        <v>27.8</v>
      </c>
      <c r="G20" s="13" t="n">
        <v>121.4</v>
      </c>
      <c r="H20" s="13" t="n">
        <v>423.4</v>
      </c>
      <c r="I20" s="13" t="n">
        <v>1516</v>
      </c>
      <c r="J20" s="13"/>
      <c r="K20" s="14" t="n">
        <v>0.5026</v>
      </c>
      <c r="L20" s="15" t="str">
        <f aca="false">IF(AND(ISNUMBER(G20),ISNUMBER(K20)),IF(K20&gt;=$K$2,G20/F20,""),"")</f>
        <v/>
      </c>
      <c r="M20" s="15" t="n">
        <f aca="false">IF(ISNUMBER(H20),H20/F20,"")</f>
        <v>15.2302158273381</v>
      </c>
      <c r="N20" s="15" t="n">
        <f aca="false">IF(ISNUMBER(I20),I20/F20,"")</f>
        <v>54.5323741007194</v>
      </c>
      <c r="O20" s="15" t="str">
        <f aca="false">IF(ISNUMBER(J20),J20/F20,"")</f>
        <v/>
      </c>
    </row>
    <row r="21" customFormat="false" ht="15" hidden="false" customHeight="false" outlineLevel="0" collapsed="false">
      <c r="A21" s="16" t="s">
        <v>59</v>
      </c>
      <c r="B21" s="16" t="s">
        <v>60</v>
      </c>
      <c r="C21" s="17" t="n">
        <v>2024</v>
      </c>
      <c r="D21" s="17" t="s">
        <v>49</v>
      </c>
      <c r="E21" s="18" t="n">
        <v>100</v>
      </c>
      <c r="F21" s="19" t="n">
        <v>4.7</v>
      </c>
      <c r="G21" s="19" t="n">
        <v>21.6</v>
      </c>
      <c r="H21" s="19" t="n">
        <v>92.8</v>
      </c>
      <c r="I21" s="19" t="n">
        <v>35.8</v>
      </c>
      <c r="J21" s="19" t="n">
        <v>7.2</v>
      </c>
      <c r="K21" s="20" t="n">
        <v>1</v>
      </c>
      <c r="L21" s="21" t="n">
        <f aca="false">IF(AND(ISNUMBER(G21),ISNUMBER(K21)),IF(K21&gt;=$K$2,G21/F21,""),"")</f>
        <v>4.59574468085106</v>
      </c>
      <c r="M21" s="21" t="n">
        <f aca="false">IF(ISNUMBER(H21),H21/F21,"")</f>
        <v>19.7446808510638</v>
      </c>
      <c r="N21" s="21" t="n">
        <f aca="false">IF(ISNUMBER(I21),I21/F21,"")</f>
        <v>7.61702127659574</v>
      </c>
      <c r="O21" s="21" t="n">
        <f aca="false">IF(ISNUMBER(J21),J21/F21,"")</f>
        <v>1.53191489361702</v>
      </c>
    </row>
    <row r="22" customFormat="false" ht="15" hidden="false" customHeight="false" outlineLevel="0" collapsed="false">
      <c r="A22" s="16" t="s">
        <v>59</v>
      </c>
      <c r="B22" s="16" t="s">
        <v>60</v>
      </c>
      <c r="C22" s="17" t="n">
        <v>2024</v>
      </c>
      <c r="D22" s="17" t="s">
        <v>49</v>
      </c>
      <c r="E22" s="18" t="n">
        <v>400</v>
      </c>
      <c r="F22" s="19" t="n">
        <v>9</v>
      </c>
      <c r="G22" s="19" t="n">
        <v>46</v>
      </c>
      <c r="H22" s="19" t="n">
        <v>168.4</v>
      </c>
      <c r="I22" s="19" t="n">
        <v>85.4</v>
      </c>
      <c r="J22" s="19" t="n">
        <v>23.8</v>
      </c>
      <c r="K22" s="20" t="n">
        <v>0.9992</v>
      </c>
      <c r="L22" s="21" t="n">
        <f aca="false">IF(AND(ISNUMBER(G22),ISNUMBER(K22)),IF(K22&gt;=$K$2,G22/F22,""),"")</f>
        <v>5.11111111111111</v>
      </c>
      <c r="M22" s="21" t="n">
        <f aca="false">IF(ISNUMBER(H22),H22/F22,"")</f>
        <v>18.7111111111111</v>
      </c>
      <c r="N22" s="21" t="n">
        <f aca="false">IF(ISNUMBER(I22),I22/F22,"")</f>
        <v>9.48888888888889</v>
      </c>
      <c r="O22" s="21" t="n">
        <f aca="false">IF(ISNUMBER(J22),J22/F22,"")</f>
        <v>2.64444444444444</v>
      </c>
    </row>
    <row r="23" customFormat="false" ht="15" hidden="false" customHeight="false" outlineLevel="0" collapsed="false">
      <c r="A23" s="16" t="s">
        <v>59</v>
      </c>
      <c r="B23" s="16" t="s">
        <v>60</v>
      </c>
      <c r="C23" s="17" t="n">
        <v>2024</v>
      </c>
      <c r="D23" s="17" t="s">
        <v>49</v>
      </c>
      <c r="E23" s="18" t="n">
        <v>1500</v>
      </c>
      <c r="F23" s="19" t="n">
        <v>15.7</v>
      </c>
      <c r="G23" s="19" t="n">
        <v>118.1</v>
      </c>
      <c r="H23" s="19" t="n">
        <v>423.6</v>
      </c>
      <c r="I23" s="19" t="n">
        <v>1616.7</v>
      </c>
      <c r="J23" s="19"/>
      <c r="K23" s="20" t="n">
        <v>0.4957</v>
      </c>
      <c r="L23" s="21" t="str">
        <f aca="false">IF(AND(ISNUMBER(G23),ISNUMBER(K23)),IF(K23&gt;=$K$2,G23/F23,""),"")</f>
        <v/>
      </c>
      <c r="M23" s="21" t="n">
        <f aca="false">IF(ISNUMBER(H23),H23/F23,"")</f>
        <v>26.9808917197452</v>
      </c>
      <c r="N23" s="21" t="n">
        <f aca="false">IF(ISNUMBER(I23),I23/F23,"")</f>
        <v>102.974522292994</v>
      </c>
      <c r="O23" s="21" t="str">
        <f aca="false">IF(ISNUMBER(J23),J23/F23,"")</f>
        <v/>
      </c>
    </row>
    <row r="24" customFormat="false" ht="15" hidden="false" customHeight="false" outlineLevel="0" collapsed="false">
      <c r="A24" s="7" t="s">
        <v>61</v>
      </c>
      <c r="B24" s="7" t="s">
        <v>62</v>
      </c>
      <c r="C24" s="11" t="n">
        <v>2024</v>
      </c>
      <c r="D24" s="11" t="s">
        <v>49</v>
      </c>
      <c r="E24" s="12" t="n">
        <v>100</v>
      </c>
      <c r="F24" s="13" t="n">
        <v>5.3</v>
      </c>
      <c r="G24" s="13" t="n">
        <v>22.3</v>
      </c>
      <c r="H24" s="13" t="n">
        <v>88.6</v>
      </c>
      <c r="I24" s="13" t="n">
        <v>30.1</v>
      </c>
      <c r="J24" s="13" t="n">
        <v>6.8</v>
      </c>
      <c r="K24" s="14" t="n">
        <v>1</v>
      </c>
      <c r="L24" s="15" t="n">
        <f aca="false">IF(AND(ISNUMBER(G24),ISNUMBER(K24)),IF(K24&gt;=$K$2,G24/F24,""),"")</f>
        <v>4.20754716981132</v>
      </c>
      <c r="M24" s="15" t="n">
        <f aca="false">IF(ISNUMBER(H24),H24/F24,"")</f>
        <v>16.7169811320755</v>
      </c>
      <c r="N24" s="15" t="n">
        <f aca="false">IF(ISNUMBER(I24),I24/F24,"")</f>
        <v>5.67924528301887</v>
      </c>
      <c r="O24" s="15" t="n">
        <f aca="false">IF(ISNUMBER(J24),J24/F24,"")</f>
        <v>1.28301886792453</v>
      </c>
    </row>
    <row r="25" customFormat="false" ht="15" hidden="false" customHeight="false" outlineLevel="0" collapsed="false">
      <c r="A25" s="7" t="s">
        <v>61</v>
      </c>
      <c r="B25" s="7" t="s">
        <v>62</v>
      </c>
      <c r="C25" s="11" t="n">
        <v>2024</v>
      </c>
      <c r="D25" s="11" t="s">
        <v>49</v>
      </c>
      <c r="E25" s="12" t="n">
        <v>400</v>
      </c>
      <c r="F25" s="13" t="n">
        <v>7.1</v>
      </c>
      <c r="G25" s="13" t="n">
        <v>41.9</v>
      </c>
      <c r="H25" s="13" t="n">
        <v>165.6</v>
      </c>
      <c r="I25" s="13" t="n">
        <v>92.3</v>
      </c>
      <c r="J25" s="13" t="n">
        <v>23.4</v>
      </c>
      <c r="K25" s="14" t="n">
        <v>0.9992</v>
      </c>
      <c r="L25" s="15" t="n">
        <f aca="false">IF(AND(ISNUMBER(G25),ISNUMBER(K25)),IF(K25&gt;=$K$2,G25/F25,""),"")</f>
        <v>5.90140845070423</v>
      </c>
      <c r="M25" s="15" t="n">
        <f aca="false">IF(ISNUMBER(H25),H25/F25,"")</f>
        <v>23.3239436619718</v>
      </c>
      <c r="N25" s="15" t="n">
        <f aca="false">IF(ISNUMBER(I25),I25/F25,"")</f>
        <v>13</v>
      </c>
      <c r="O25" s="15" t="n">
        <f aca="false">IF(ISNUMBER(J25),J25/F25,"")</f>
        <v>3.29577464788732</v>
      </c>
    </row>
    <row r="26" customFormat="false" ht="15" hidden="false" customHeight="false" outlineLevel="0" collapsed="false">
      <c r="A26" s="7" t="s">
        <v>61</v>
      </c>
      <c r="B26" s="7" t="s">
        <v>62</v>
      </c>
      <c r="C26" s="11" t="n">
        <v>2024</v>
      </c>
      <c r="D26" s="11" t="s">
        <v>49</v>
      </c>
      <c r="E26" s="12" t="n">
        <v>1500</v>
      </c>
      <c r="F26" s="13" t="n">
        <v>16.9</v>
      </c>
      <c r="G26" s="13" t="n">
        <v>160.4</v>
      </c>
      <c r="H26" s="13" t="n">
        <v>437.1</v>
      </c>
      <c r="I26" s="13" t="n">
        <v>1630.5</v>
      </c>
      <c r="J26" s="13"/>
      <c r="K26" s="14" t="n">
        <v>0.501</v>
      </c>
      <c r="L26" s="15" t="str">
        <f aca="false">IF(AND(ISNUMBER(G26),ISNUMBER(K26)),IF(K26&gt;=$K$2,G26/F26,""),"")</f>
        <v/>
      </c>
      <c r="M26" s="15" t="n">
        <f aca="false">IF(ISNUMBER(H26),H26/F26,"")</f>
        <v>25.8639053254438</v>
      </c>
      <c r="N26" s="15" t="n">
        <f aca="false">IF(ISNUMBER(I26),I26/F26,"")</f>
        <v>96.4792899408284</v>
      </c>
      <c r="O26" s="15" t="str">
        <f aca="false">IF(ISNUMBER(J26),J26/F26,"")</f>
        <v/>
      </c>
    </row>
    <row r="28" customFormat="false" ht="15" hidden="false" customHeight="false" outlineLevel="0" collapsed="false">
      <c r="A28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13"/>
    <col collapsed="false" customWidth="true" hidden="false" outlineLevel="0" max="6" min="6" style="0" width="28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30" hidden="false" customHeight="true" outlineLevel="0" collapsed="false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</row>
    <row r="5" customFormat="false" ht="15" hidden="false" customHeight="false" outlineLevel="0" collapsed="false">
      <c r="A5" s="7" t="s">
        <v>72</v>
      </c>
      <c r="B5" s="22" t="s">
        <v>73</v>
      </c>
      <c r="C5" s="15" t="n">
        <f aca="false">MIN('Timing runs'!$M$6:$M$26)</f>
        <v>15.2302158273381</v>
      </c>
      <c r="D5" s="15" t="n">
        <f aca="false">MAX('Timing runs'!$M$6:$M$26)</f>
        <v>26.9808917197452</v>
      </c>
      <c r="E5" s="23" t="n">
        <f aca="false">COUNT('Timing runs'!$M$6:$M$26)</f>
        <v>21</v>
      </c>
      <c r="F5" s="11" t="s">
        <v>74</v>
      </c>
    </row>
    <row r="6" customFormat="false" ht="15" hidden="false" customHeight="false" outlineLevel="0" collapsed="false">
      <c r="A6" s="7" t="s">
        <v>75</v>
      </c>
      <c r="B6" s="24" t="n">
        <v>1500</v>
      </c>
      <c r="C6" s="15" t="n">
        <f aca="false">_xlfn.MINIFS('Timing runs'!$N$6:$N$26,'Timing runs'!$E$6:$E$26,B6)</f>
        <v>54.5323741007194</v>
      </c>
      <c r="D6" s="15" t="n">
        <f aca="false">_xlfn.MAXIFS('Timing runs'!$N$6:$N$26,'Timing runs'!$E$6:$E$26,B6)</f>
        <v>103.693965517241</v>
      </c>
      <c r="E6" s="23" t="n">
        <f aca="false">COUNTIFS('Timing runs'!$E$6:$E$26,B6,'Timing runs'!$N$6:$N$26,"&gt;0")</f>
        <v>7</v>
      </c>
      <c r="F6" s="11" t="s">
        <v>76</v>
      </c>
    </row>
    <row r="7" customFormat="false" ht="15" hidden="false" customHeight="false" outlineLevel="0" collapsed="false">
      <c r="A7" s="7" t="s">
        <v>77</v>
      </c>
      <c r="B7" s="24" t="n">
        <v>100</v>
      </c>
      <c r="C7" s="15" t="n">
        <f aca="false">_xlfn.MINIFS('Timing runs'!$O$6:$O$26,'Timing runs'!$E$6:$E$26,B7)</f>
        <v>1.15</v>
      </c>
      <c r="D7" s="15" t="n">
        <f aca="false">_xlfn.MAXIFS('Timing runs'!$O$6:$O$26,'Timing runs'!$E$6:$E$26,B7)</f>
        <v>1.7</v>
      </c>
      <c r="E7" s="23" t="n">
        <f aca="false">COUNTIFS('Timing runs'!$E$6:$E$26,B7,'Timing runs'!$O$6:$O$26,"&gt;0")</f>
        <v>7</v>
      </c>
      <c r="F7" s="11" t="s">
        <v>78</v>
      </c>
    </row>
    <row r="8" customFormat="false" ht="15" hidden="false" customHeight="false" outlineLevel="0" collapsed="false">
      <c r="A8" s="7" t="s">
        <v>77</v>
      </c>
      <c r="B8" s="24" t="n">
        <v>400</v>
      </c>
      <c r="C8" s="15" t="n">
        <f aca="false">_xlfn.MINIFS('Timing runs'!$O$6:$O$26,'Timing runs'!$E$6:$E$26,B8)</f>
        <v>2.64444444444444</v>
      </c>
      <c r="D8" s="15" t="n">
        <f aca="false">_xlfn.MAXIFS('Timing runs'!$O$6:$O$26,'Timing runs'!$E$6:$E$26,B8)</f>
        <v>5.63586956521739</v>
      </c>
      <c r="E8" s="23" t="n">
        <f aca="false">COUNTIFS('Timing runs'!$E$6:$E$26,B8,'Timing runs'!$O$6:$O$26,"&gt;0")</f>
        <v>7</v>
      </c>
      <c r="F8" s="11" t="s">
        <v>79</v>
      </c>
    </row>
    <row r="9" customFormat="false" ht="15" hidden="false" customHeight="false" outlineLevel="0" collapsed="false">
      <c r="A9" s="7" t="s">
        <v>80</v>
      </c>
      <c r="B9" s="22" t="s">
        <v>73</v>
      </c>
      <c r="C9" s="15" t="n">
        <f aca="false">MIN('Timing runs'!$L$6:$L$26)</f>
        <v>4.20754716981132</v>
      </c>
      <c r="D9" s="15" t="n">
        <f aca="false">MAX('Timing runs'!$L$6:$L$26)</f>
        <v>5.90140845070423</v>
      </c>
      <c r="E9" s="23" t="n">
        <f aca="false">COUNT('Timing runs'!$L$6:$L$26)</f>
        <v>6</v>
      </c>
      <c r="F9" s="11" t="s">
        <v>81</v>
      </c>
    </row>
    <row r="11" customFormat="false" ht="15" hidden="false" customHeight="false" outlineLevel="0" collapsed="false">
      <c r="A11" s="6" t="s">
        <v>82</v>
      </c>
    </row>
    <row r="12" customFormat="false" ht="30" hidden="false" customHeight="true" outlineLevel="0" collapsed="false">
      <c r="A12" s="25" t="s">
        <v>83</v>
      </c>
      <c r="B12" s="25"/>
      <c r="C12" s="25"/>
      <c r="D12" s="25"/>
      <c r="E12" s="25"/>
      <c r="F12" s="25"/>
    </row>
    <row r="13" customFormat="false" ht="30" hidden="false" customHeight="true" outlineLevel="0" collapsed="false">
      <c r="A13" s="25" t="s">
        <v>84</v>
      </c>
      <c r="B13" s="25"/>
      <c r="C13" s="25"/>
      <c r="D13" s="25"/>
      <c r="E13" s="25"/>
      <c r="F13" s="25"/>
    </row>
    <row r="14" customFormat="false" ht="30" hidden="false" customHeight="true" outlineLevel="0" collapsed="false">
      <c r="A14" s="25" t="s">
        <v>85</v>
      </c>
      <c r="B14" s="25"/>
      <c r="C14" s="25"/>
      <c r="D14" s="25"/>
      <c r="E14" s="25"/>
      <c r="F14" s="25"/>
    </row>
  </sheetData>
  <mergeCells count="3">
    <mergeCell ref="A12:F12"/>
    <mergeCell ref="A13:F1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8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3" customFormat="false" ht="15" hidden="false" customHeight="false" outlineLevel="0" collapsed="false">
      <c r="A3" s="6" t="s">
        <v>88</v>
      </c>
      <c r="E3" s="26" t="n">
        <v>2</v>
      </c>
    </row>
    <row r="5" customFormat="false" ht="43.5" hidden="false" customHeight="true" outlineLevel="0" collapsed="false">
      <c r="A5" s="3" t="s">
        <v>89</v>
      </c>
      <c r="B5" s="3" t="s">
        <v>90</v>
      </c>
      <c r="C5" s="3" t="s">
        <v>91</v>
      </c>
      <c r="D5" s="3" t="s">
        <v>92</v>
      </c>
      <c r="E5" s="3" t="s">
        <v>93</v>
      </c>
      <c r="F5" s="3" t="s">
        <v>94</v>
      </c>
      <c r="G5" s="3" t="s">
        <v>95</v>
      </c>
      <c r="H5" s="3" t="s">
        <v>96</v>
      </c>
      <c r="I5" s="3" t="s">
        <v>97</v>
      </c>
      <c r="J5" s="3" t="s">
        <v>98</v>
      </c>
      <c r="K5" s="3" t="s">
        <v>99</v>
      </c>
    </row>
    <row r="6" customFormat="false" ht="15" hidden="false" customHeight="false" outlineLevel="0" collapsed="false">
      <c r="A6" s="11" t="n">
        <v>1</v>
      </c>
      <c r="B6" s="27" t="n">
        <v>0.01</v>
      </c>
      <c r="C6" s="12" t="n">
        <v>600</v>
      </c>
      <c r="D6" s="27" t="n">
        <v>0.2</v>
      </c>
      <c r="E6" s="12" t="n">
        <v>120</v>
      </c>
      <c r="F6" s="27" t="n">
        <v>0.05</v>
      </c>
      <c r="G6" s="12" t="n">
        <v>240</v>
      </c>
      <c r="H6" s="28" t="n">
        <f aca="false">MIN(C6,E6)</f>
        <v>120</v>
      </c>
      <c r="I6" s="29" t="n">
        <f aca="false">H6/G6</f>
        <v>0.5</v>
      </c>
      <c r="J6" s="22" t="str">
        <f aca="false">IF(I6&gt;=$E$3,"Yes","No")</f>
        <v>No</v>
      </c>
      <c r="K6" s="22" t="str">
        <f aca="false">IF(COUNTIF(I6:I$10,"&lt;"&amp;$E$3)=0,"Yes","No")</f>
        <v>No</v>
      </c>
    </row>
    <row r="7" customFormat="false" ht="15" hidden="false" customHeight="false" outlineLevel="0" collapsed="false">
      <c r="A7" s="11" t="n">
        <v>3</v>
      </c>
      <c r="B7" s="27" t="n">
        <v>0.005</v>
      </c>
      <c r="C7" s="12" t="n">
        <v>1200</v>
      </c>
      <c r="D7" s="27" t="n">
        <v>0.1</v>
      </c>
      <c r="E7" s="12" t="n">
        <v>240</v>
      </c>
      <c r="F7" s="27" t="n">
        <v>0.05</v>
      </c>
      <c r="G7" s="12" t="n">
        <v>240</v>
      </c>
      <c r="H7" s="28" t="n">
        <f aca="false">MIN(C7,E7)</f>
        <v>240</v>
      </c>
      <c r="I7" s="29" t="n">
        <f aca="false">H7/G7</f>
        <v>1</v>
      </c>
      <c r="J7" s="22" t="str">
        <f aca="false">IF(I7&gt;=$E$3,"Yes","No")</f>
        <v>No</v>
      </c>
      <c r="K7" s="22" t="str">
        <f aca="false">IF(COUNTIF(I7:I$10,"&lt;"&amp;$E$3)=0,"Yes","No")</f>
        <v>No</v>
      </c>
    </row>
    <row r="8" customFormat="false" ht="15" hidden="false" customHeight="false" outlineLevel="0" collapsed="false">
      <c r="A8" s="11" t="n">
        <v>10</v>
      </c>
      <c r="B8" s="27" t="n">
        <v>0.02</v>
      </c>
      <c r="C8" s="12" t="n">
        <v>300</v>
      </c>
      <c r="D8" s="27" t="n">
        <v>0.02</v>
      </c>
      <c r="E8" s="12" t="n">
        <v>1200</v>
      </c>
      <c r="F8" s="27" t="n">
        <v>0.02</v>
      </c>
      <c r="G8" s="12" t="n">
        <v>600</v>
      </c>
      <c r="H8" s="28" t="n">
        <f aca="false">MIN(C8,E8)</f>
        <v>300</v>
      </c>
      <c r="I8" s="29" t="n">
        <f aca="false">H8/G8</f>
        <v>0.5</v>
      </c>
      <c r="J8" s="22" t="str">
        <f aca="false">IF(I8&gt;=$E$3,"Yes","No")</f>
        <v>No</v>
      </c>
      <c r="K8" s="22" t="str">
        <f aca="false">IF(COUNTIF(I8:I$10,"&lt;"&amp;$E$3)=0,"Yes","No")</f>
        <v>No</v>
      </c>
    </row>
    <row r="9" customFormat="false" ht="15" hidden="false" customHeight="false" outlineLevel="0" collapsed="false">
      <c r="A9" s="11" t="n">
        <v>30</v>
      </c>
      <c r="B9" s="27" t="n">
        <v>0.005</v>
      </c>
      <c r="C9" s="12" t="n">
        <v>1200</v>
      </c>
      <c r="D9" s="27" t="n">
        <v>0.01</v>
      </c>
      <c r="E9" s="12" t="n">
        <v>2400</v>
      </c>
      <c r="F9" s="27" t="n">
        <v>0.05</v>
      </c>
      <c r="G9" s="12" t="n">
        <v>240</v>
      </c>
      <c r="H9" s="28" t="n">
        <f aca="false">MIN(C9,E9)</f>
        <v>1200</v>
      </c>
      <c r="I9" s="29" t="n">
        <f aca="false">H9/G9</f>
        <v>5</v>
      </c>
      <c r="J9" s="22" t="str">
        <f aca="false">IF(I9&gt;=$E$3,"Yes","No")</f>
        <v>Yes</v>
      </c>
      <c r="K9" s="22" t="str">
        <f aca="false">IF(COUNTIF(I9:I$10,"&lt;"&amp;$E$3)=0,"Yes","No")</f>
        <v>Yes</v>
      </c>
    </row>
    <row r="10" customFormat="false" ht="15" hidden="false" customHeight="false" outlineLevel="0" collapsed="false">
      <c r="A10" s="11" t="n">
        <v>100</v>
      </c>
      <c r="B10" s="27" t="n">
        <v>0.005</v>
      </c>
      <c r="C10" s="12" t="n">
        <v>1200</v>
      </c>
      <c r="D10" s="27" t="n">
        <v>0.005</v>
      </c>
      <c r="E10" s="12" t="n">
        <v>4800</v>
      </c>
      <c r="F10" s="27" t="n">
        <v>0.1</v>
      </c>
      <c r="G10" s="12" t="n">
        <v>120</v>
      </c>
      <c r="H10" s="28" t="n">
        <f aca="false">MIN(C10,E10)</f>
        <v>1200</v>
      </c>
      <c r="I10" s="29" t="n">
        <f aca="false">H10/G10</f>
        <v>10</v>
      </c>
      <c r="J10" s="22" t="str">
        <f aca="false">IF(I10&gt;=$E$3,"Yes","No")</f>
        <v>Yes</v>
      </c>
      <c r="K10" s="22" t="str">
        <f aca="false">IF(COUNTIF(I10:I$10,"&lt;"&amp;$E$3)=0,"Yes","No")</f>
        <v>Yes</v>
      </c>
    </row>
    <row r="12" customFormat="false" ht="15" hidden="false" customHeight="false" outlineLevel="0" collapsed="false">
      <c r="A12" s="6" t="s">
        <v>100</v>
      </c>
      <c r="D12" s="30" t="n">
        <f aca="false">IFERROR(INDEX(A6:A10,MATCH("Yes",K6:K10,0)),"never")</f>
        <v>30</v>
      </c>
    </row>
    <row r="14" customFormat="false" ht="15" hidden="false" customHeight="false" outlineLevel="0" collapsed="false">
      <c r="A14" s="2" t="s">
        <v>101</v>
      </c>
    </row>
    <row r="15" customFormat="false" ht="15" hidden="false" customHeight="false" outlineLevel="0" collapsed="false">
      <c r="A15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6"/>
    <col collapsed="false" customWidth="true" hidden="false" outlineLevel="0" max="3" min="3" style="0" width="78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15" hidden="false" customHeight="false" outlineLevel="0" collapsed="false">
      <c r="A4" s="3" t="s">
        <v>105</v>
      </c>
      <c r="B4" s="3" t="s">
        <v>106</v>
      </c>
      <c r="C4" s="3" t="s">
        <v>107</v>
      </c>
    </row>
    <row r="5" customFormat="false" ht="27.75" hidden="false" customHeight="true" outlineLevel="0" collapsed="false">
      <c r="A5" s="31" t="s">
        <v>108</v>
      </c>
      <c r="B5" s="5" t="s">
        <v>109</v>
      </c>
      <c r="C5" s="5" t="s">
        <v>110</v>
      </c>
    </row>
    <row r="6" customFormat="false" ht="27.75" hidden="false" customHeight="true" outlineLevel="0" collapsed="false">
      <c r="A6" s="31" t="s">
        <v>108</v>
      </c>
      <c r="B6" s="5" t="s">
        <v>111</v>
      </c>
      <c r="C6" s="5" t="s">
        <v>112</v>
      </c>
    </row>
    <row r="7" customFormat="false" ht="27.75" hidden="false" customHeight="true" outlineLevel="0" collapsed="false">
      <c r="A7" s="31" t="s">
        <v>108</v>
      </c>
      <c r="B7" s="5" t="s">
        <v>113</v>
      </c>
      <c r="C7" s="5" t="s">
        <v>114</v>
      </c>
    </row>
    <row r="8" customFormat="false" ht="27.75" hidden="false" customHeight="true" outlineLevel="0" collapsed="false">
      <c r="A8" s="31" t="s">
        <v>108</v>
      </c>
      <c r="B8" s="5" t="s">
        <v>115</v>
      </c>
      <c r="C8" s="5" t="s">
        <v>116</v>
      </c>
    </row>
    <row r="9" customFormat="false" ht="27.75" hidden="false" customHeight="true" outlineLevel="0" collapsed="false">
      <c r="A9" s="31" t="s">
        <v>108</v>
      </c>
      <c r="B9" s="5" t="s">
        <v>117</v>
      </c>
      <c r="C9" s="5" t="s">
        <v>118</v>
      </c>
    </row>
    <row r="10" customFormat="false" ht="27.75" hidden="false" customHeight="true" outlineLevel="0" collapsed="false">
      <c r="A10" s="31" t="s">
        <v>108</v>
      </c>
      <c r="B10" s="5" t="s">
        <v>119</v>
      </c>
      <c r="C10" s="5" t="s">
        <v>120</v>
      </c>
    </row>
    <row r="11" customFormat="false" ht="42" hidden="false" customHeight="true" outlineLevel="0" collapsed="false">
      <c r="A11" s="31" t="s">
        <v>108</v>
      </c>
      <c r="B11" s="5" t="s">
        <v>121</v>
      </c>
      <c r="C11" s="5" t="s">
        <v>122</v>
      </c>
    </row>
    <row r="12" customFormat="false" ht="27.75" hidden="false" customHeight="true" outlineLevel="0" collapsed="false">
      <c r="A12" s="32" t="s">
        <v>123</v>
      </c>
      <c r="B12" s="5" t="s">
        <v>124</v>
      </c>
      <c r="C12" s="5" t="s">
        <v>125</v>
      </c>
    </row>
    <row r="13" customFormat="false" ht="27.75" hidden="false" customHeight="true" outlineLevel="0" collapsed="false">
      <c r="A13" s="31" t="s">
        <v>108</v>
      </c>
      <c r="B13" s="5" t="s">
        <v>126</v>
      </c>
      <c r="C13" s="5" t="s">
        <v>127</v>
      </c>
    </row>
    <row r="14" customFormat="false" ht="27.75" hidden="false" customHeight="true" outlineLevel="0" collapsed="false">
      <c r="A14" s="31" t="s">
        <v>108</v>
      </c>
      <c r="B14" s="5" t="s">
        <v>128</v>
      </c>
      <c r="C14" s="5" t="s">
        <v>129</v>
      </c>
    </row>
    <row r="15" customFormat="false" ht="27.75" hidden="false" customHeight="true" outlineLevel="0" collapsed="false">
      <c r="A15" s="31" t="s">
        <v>108</v>
      </c>
      <c r="B15" s="5" t="s">
        <v>130</v>
      </c>
      <c r="C15" s="5" t="s">
        <v>131</v>
      </c>
    </row>
    <row r="16" customFormat="false" ht="42" hidden="false" customHeight="true" outlineLevel="0" collapsed="false">
      <c r="A16" s="33" t="s">
        <v>132</v>
      </c>
      <c r="B16" s="5" t="s">
        <v>133</v>
      </c>
      <c r="C16" s="5" t="s">
        <v>134</v>
      </c>
    </row>
    <row r="17" customFormat="false" ht="27.75" hidden="false" customHeight="true" outlineLevel="0" collapsed="false">
      <c r="A17" s="31" t="s">
        <v>108</v>
      </c>
      <c r="B17" s="5" t="s">
        <v>135</v>
      </c>
      <c r="C17" s="5" t="s">
        <v>136</v>
      </c>
    </row>
    <row r="18" customFormat="false" ht="27.75" hidden="false" customHeight="true" outlineLevel="0" collapsed="false">
      <c r="A18" s="31" t="s">
        <v>108</v>
      </c>
      <c r="B18" s="5" t="s">
        <v>137</v>
      </c>
      <c r="C18" s="5" t="s">
        <v>138</v>
      </c>
    </row>
    <row r="19" customFormat="false" ht="27.75" hidden="false" customHeight="true" outlineLevel="0" collapsed="false">
      <c r="A19" s="31" t="s">
        <v>108</v>
      </c>
      <c r="B19" s="5" t="s">
        <v>139</v>
      </c>
      <c r="C19" s="5" t="s">
        <v>140</v>
      </c>
    </row>
    <row r="20" customFormat="false" ht="27.75" hidden="false" customHeight="true" outlineLevel="0" collapsed="false">
      <c r="A20" s="32" t="s">
        <v>123</v>
      </c>
      <c r="B20" s="5" t="s">
        <v>141</v>
      </c>
      <c r="C20" s="5" t="s">
        <v>142</v>
      </c>
    </row>
    <row r="22" customFormat="false" ht="15" hidden="false" customHeight="false" outlineLevel="0" collapsed="false">
      <c r="A22" s="6" t="s">
        <v>143</v>
      </c>
    </row>
    <row r="23" customFormat="false" ht="15" hidden="false" customHeight="false" outlineLevel="0" collapsed="false">
      <c r="A23" s="9" t="s">
        <v>108</v>
      </c>
      <c r="B23" s="34" t="n">
        <f aca="false">COUNTIF($A$5:$A$20,A23)</f>
        <v>13</v>
      </c>
    </row>
    <row r="24" customFormat="false" ht="15" hidden="false" customHeight="false" outlineLevel="0" collapsed="false">
      <c r="A24" s="9" t="s">
        <v>123</v>
      </c>
      <c r="B24" s="34" t="n">
        <f aca="false">COUNTIF($A$5:$A$20,A24)</f>
        <v>2</v>
      </c>
    </row>
    <row r="25" customFormat="false" ht="15" hidden="false" customHeight="false" outlineLevel="0" collapsed="false">
      <c r="A25" s="9" t="s">
        <v>132</v>
      </c>
      <c r="B25" s="34" t="n">
        <f aca="false">COUNTIF($A$5:$A$20,A25)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2026-10-07T06:16:34Z</dcterms:created>
  <dc:creator>openpyxl</dc:creator>
  <dc:description/>
  <dc:language>en-US</dc:language>
  <cp:lastModifiedBy/>
  <dcterms:modified xsi:type="dcterms:W3CDTF">2026-10-07T06:16:34Z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